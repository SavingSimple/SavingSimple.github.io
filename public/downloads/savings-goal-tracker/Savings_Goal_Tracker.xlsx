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0888deaa4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vings Goals" sheetId="1" r:id="Rabca9d5fd796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-$#,##0.00"/>
    <x:numFmt numFmtId="201" formatCode="0%"/>
    <x:numFmt numFmtId="202" formatCode="dd/mm/yyyy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56594D"/>
      </x:patternFill>
    </x:fill>
    <x:fill>
      <x:patternFill patternType="solid">
        <x:fgColor rgb="F7F3EA"/>
      </x:patternFill>
    </x:fill>
    <x:fill>
      <x:patternFill patternType="solid">
        <x:fgColor rgb="F1D6C5"/>
      </x:patternFill>
    </x:fill>
    <x:fill>
      <x:patternFill patternType="solid">
        <x:fgColor rgb="FFFFFF"/>
      </x:patternFill>
    </x:fill>
    <x:fill>
      <x:patternFill patternType="solid">
        <x:fgColor rgb="FFF6B3"/>
      </x:patternFill>
    </x:fill>
  </x:fills>
  <x:borders count="6">
    <x:border/>
    <x:border/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top>
        <x:color rgb="A6806B"/>
      </x:top>
      <x:bottom>
        <x:color rgb="A6806B"/>
      </x:bottom>
    </x:border>
    <x:border>
      <x:top>
        <x:color rgb="A6806B"/>
      </x:top>
      <x:bottom>
        <x:color rgb="A6806B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6" borderId="3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5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5" borderId="3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6" borderId="2" xfId="0" applyNumberFormat="1" applyFont="1" applyFill="1" applyBorder="1" applyAlignment="1">
      <x:alignment wrapText="1"/>
    </x:xf>
    <x:xf numFmtId="202" fontId="0" fillId="6" borderId="3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201" fontId="4" fillId="5" borderId="4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201" fontId="4" fillId="5" borderId="5" xfId="0" applyNumberFormat="1" applyFont="1" applyFill="1" applyBorder="1"/>
    <x:xf numFmtId="0" fontId="0" fillId="6" borderId="0" xfId="0" applyNumberFormat="1" applyFont="1" applyFill="1" applyBorder="1"/>
    <x:xf numFmtId="0" fontId="0" fillId="6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8cedf362f45d7" /><Relationship Type="http://schemas.openxmlformats.org/officeDocument/2006/relationships/theme" Target="/xl/theme/theme1.xml" Id="Raeffd385d380437e" /><Relationship Type="http://schemas.openxmlformats.org/officeDocument/2006/relationships/sharedStrings" Target="/xl/sharedStrings.xml" Id="R598b925298324185" /><Relationship Type="http://schemas.openxmlformats.org/officeDocument/2006/relationships/worksheet" Target="/xl/worksheets/sheet1.xml" Id="Rabca9d5fd79641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12" hidden="0" customWidth="1"/>
    <x:col min="8" max="8" width="15" hidden="0" customWidth="1"/>
    <x:col min="9" max="9" width="12" hidden="0" customWidth="1"/>
  </x:cols>
  <x:sheetData>
    <x:row r="1" ht="30" customHeight="1">
      <x:c r="A1" s="5" t="str">
        <x:v>PHASE 2 PRODUCT 3: SAVINGS GOAL TRACKER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Track each money goal, target date, monthly contribution and progress percentage.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2" t="str">
        <x:v>Goal Name</x:v>
      </x:c>
      <x:c r="B4" s="22" t="str">
        <x:v>Why It Matters</x:v>
      </x:c>
      <x:c r="C4" s="22" t="str">
        <x:v>Target Amount</x:v>
      </x:c>
      <x:c r="D4" s="22" t="str">
        <x:v>Current Saved</x:v>
      </x:c>
      <x:c r="E4" s="22" t="str">
        <x:v>Remaining</x:v>
      </x:c>
      <x:c r="F4" s="22" t="str">
        <x:v>Target Date</x:v>
      </x:c>
      <x:c r="G4" s="22" t="str">
        <x:v>Months Left</x:v>
      </x:c>
      <x:c r="H4" s="22" t="str">
        <x:v>Monthly Needed</x:v>
      </x:c>
      <x:c r="I4" s="22" t="str">
        <x:v>Progress</x:v>
      </x:c>
    </x:row>
    <x:row r="5">
      <x:c r="A5" s="34" t="str">
        <x:v>Emergency Fund</x:v>
      </x:c>
      <x:c r="B5" s="34" t="str">
        <x:v>3-6 months of expenses</x:v>
      </x:c>
      <x:c r="C5" s="36"/>
      <x:c r="D5" s="36"/>
      <x:c r="E5" s="37" t="n">
        <x:f>C5-D5</x:f>
        <x:v>0</x:v>
      </x:c>
      <x:c r="F5" s="46" t="str"/>
      <x:c r="G5" s="30" t="n">
        <x:f>IF(F5="",0,MAX(0,ROUNDUP((F5-TODAY())/30,0)))</x:f>
        <x:v>0</x:v>
      </x:c>
      <x:c r="H5" s="37" t="n">
        <x:f>IF(G5=0,E5,E5/G5)</x:f>
        <x:v>0</x:v>
      </x:c>
      <x:c r="I5" s="42" t="n">
        <x:f>IF(C5=0,0,D5/C5)</x:f>
        <x:v>0</x:v>
      </x:c>
    </x:row>
    <x:row r="6">
      <x:c r="A6" s="34" t="str"/>
      <x:c r="B6" s="34" t="str"/>
      <x:c r="C6" s="36"/>
      <x:c r="D6" s="36"/>
      <x:c r="E6" s="37" t="n">
        <x:f>C6-D6</x:f>
        <x:v>0</x:v>
      </x:c>
      <x:c r="F6" s="46" t="str"/>
      <x:c r="G6" s="30" t="n">
        <x:f>IF(F6="",0,MAX(0,ROUNDUP((F6-TODAY())/30,0)))</x:f>
        <x:v>0</x:v>
      </x:c>
      <x:c r="H6" s="37" t="n">
        <x:f>IF(G6=0,E6,E6/G6)</x:f>
        <x:v>0</x:v>
      </x:c>
      <x:c r="I6" s="42" t="n">
        <x:f>IF(C6=0,0,D6/C6)</x:f>
        <x:v>0</x:v>
      </x:c>
    </x:row>
    <x:row r="7">
      <x:c r="A7" s="34" t="str"/>
      <x:c r="B7" s="34" t="str"/>
      <x:c r="C7" s="36"/>
      <x:c r="D7" s="36"/>
      <x:c r="E7" s="37" t="n">
        <x:f>C7-D7</x:f>
        <x:v>0</x:v>
      </x:c>
      <x:c r="F7" s="46" t="str"/>
      <x:c r="G7" s="30" t="n">
        <x:f>IF(F7="",0,MAX(0,ROUNDUP((F7-TODAY())/30,0)))</x:f>
        <x:v>0</x:v>
      </x:c>
      <x:c r="H7" s="37" t="n">
        <x:f>IF(G7=0,E7,E7/G7)</x:f>
        <x:v>0</x:v>
      </x:c>
      <x:c r="I7" s="42" t="n">
        <x:f>IF(C7=0,0,D7/C7)</x:f>
        <x:v>0</x:v>
      </x:c>
    </x:row>
    <x:row r="8">
      <x:c r="A8" s="34" t="str"/>
      <x:c r="B8" s="34" t="str"/>
      <x:c r="C8" s="36"/>
      <x:c r="D8" s="36"/>
      <x:c r="E8" s="37" t="n">
        <x:f>C8-D8</x:f>
        <x:v>0</x:v>
      </x:c>
      <x:c r="F8" s="46" t="str"/>
      <x:c r="G8" s="30" t="n">
        <x:f>IF(F8="",0,MAX(0,ROUNDUP((F8-TODAY())/30,0)))</x:f>
        <x:v>0</x:v>
      </x:c>
      <x:c r="H8" s="37" t="n">
        <x:f>IF(G8=0,E8,E8/G8)</x:f>
        <x:v>0</x:v>
      </x:c>
      <x:c r="I8" s="42" t="n">
        <x:f>IF(C8=0,0,D8/C8)</x:f>
        <x:v>0</x:v>
      </x:c>
    </x:row>
    <x:row r="9">
      <x:c r="A9" s="34" t="str"/>
      <x:c r="B9" s="34" t="str"/>
      <x:c r="C9" s="36"/>
      <x:c r="D9" s="36"/>
      <x:c r="E9" s="37" t="n">
        <x:f>C9-D9</x:f>
        <x:v>0</x:v>
      </x:c>
      <x:c r="F9" s="46" t="str"/>
      <x:c r="G9" s="30" t="n">
        <x:f>IF(F9="",0,MAX(0,ROUNDUP((F9-TODAY())/30,0)))</x:f>
        <x:v>0</x:v>
      </x:c>
      <x:c r="H9" s="37" t="n">
        <x:f>IF(G9=0,E9,E9/G9)</x:f>
        <x:v>0</x:v>
      </x:c>
      <x:c r="I9" s="42" t="n">
        <x:f>IF(C9=0,0,D9/C9)</x:f>
        <x:v>0</x:v>
      </x:c>
    </x:row>
    <x:row r="10">
      <x:c r="A10" s="34" t="str"/>
      <x:c r="B10" s="34" t="str"/>
      <x:c r="C10" s="36"/>
      <x:c r="D10" s="36"/>
      <x:c r="E10" s="37" t="n">
        <x:f>C10-D10</x:f>
        <x:v>0</x:v>
      </x:c>
      <x:c r="F10" s="46" t="str"/>
      <x:c r="G10" s="30" t="n">
        <x:f>IF(F10="",0,MAX(0,ROUNDUP((F10-TODAY())/30,0)))</x:f>
        <x:v>0</x:v>
      </x:c>
      <x:c r="H10" s="37" t="n">
        <x:f>IF(G10=0,E10,E10/G10)</x:f>
        <x:v>0</x:v>
      </x:c>
      <x:c r="I10" s="42" t="n">
        <x:f>IF(C10=0,0,D10/C10)</x:f>
        <x:v>0</x:v>
      </x:c>
    </x:row>
    <x:row r="11">
      <x:c r="A11" s="34" t="str"/>
      <x:c r="B11" s="34" t="str"/>
      <x:c r="C11" s="36"/>
      <x:c r="D11" s="36"/>
      <x:c r="E11" s="37" t="n">
        <x:f>C11-D11</x:f>
        <x:v>0</x:v>
      </x:c>
      <x:c r="F11" s="46" t="str"/>
      <x:c r="G11" s="30" t="n">
        <x:f>IF(F11="",0,MAX(0,ROUNDUP((F11-TODAY())/30,0)))</x:f>
        <x:v>0</x:v>
      </x:c>
      <x:c r="H11" s="37" t="n">
        <x:f>IF(G11=0,E11,E11/G11)</x:f>
        <x:v>0</x:v>
      </x:c>
      <x:c r="I11" s="42" t="n">
        <x:f>IF(C11=0,0,D11/C11)</x:f>
        <x:v>0</x:v>
      </x:c>
    </x:row>
    <x:row r="12">
      <x:c r="A12" s="34" t="str"/>
      <x:c r="B12" s="34" t="str"/>
      <x:c r="C12" s="36"/>
      <x:c r="D12" s="36"/>
      <x:c r="E12" s="37" t="n">
        <x:f>C12-D12</x:f>
        <x:v>0</x:v>
      </x:c>
      <x:c r="F12" s="46" t="str"/>
      <x:c r="G12" s="30" t="n">
        <x:f>IF(F12="",0,MAX(0,ROUNDUP((F12-TODAY())/30,0)))</x:f>
        <x:v>0</x:v>
      </x:c>
      <x:c r="H12" s="37" t="n">
        <x:f>IF(G12=0,E12,E12/G12)</x:f>
        <x:v>0</x:v>
      </x:c>
      <x:c r="I12" s="42" t="n">
        <x:f>IF(C12=0,0,D12/C12)</x:f>
        <x:v>0</x:v>
      </x:c>
    </x:row>
    <x:row r="13">
      <x:c r="A13" s="34" t="str"/>
      <x:c r="B13" s="34" t="str"/>
      <x:c r="C13" s="36"/>
      <x:c r="D13" s="36"/>
      <x:c r="E13" s="37" t="n">
        <x:f>C13-D13</x:f>
        <x:v>0</x:v>
      </x:c>
      <x:c r="F13" s="46" t="str"/>
      <x:c r="G13" s="30" t="n">
        <x:f>IF(F13="",0,MAX(0,ROUNDUP((F13-TODAY())/30,0)))</x:f>
        <x:v>0</x:v>
      </x:c>
      <x:c r="H13" s="37" t="n">
        <x:f>IF(G13=0,E13,E13/G13)</x:f>
        <x:v>0</x:v>
      </x:c>
      <x:c r="I13" s="42" t="n">
        <x:f>IF(C13=0,0,D13/C13)</x:f>
        <x:v>0</x:v>
      </x:c>
    </x:row>
    <x:row r="14">
      <x:c r="A14" s="34" t="str"/>
      <x:c r="B14" s="34" t="str"/>
      <x:c r="C14" s="36"/>
      <x:c r="D14" s="36"/>
      <x:c r="E14" s="37" t="n">
        <x:f>C14-D14</x:f>
        <x:v>0</x:v>
      </x:c>
      <x:c r="F14" s="46" t="str"/>
      <x:c r="G14" s="30" t="n">
        <x:f>IF(F14="",0,MAX(0,ROUNDUP((F14-TODAY())/30,0)))</x:f>
        <x:v>0</x:v>
      </x:c>
      <x:c r="H14" s="37" t="n">
        <x:f>IF(G14=0,E14,E14/G14)</x:f>
        <x:v>0</x:v>
      </x:c>
      <x:c r="I14" s="42" t="n">
        <x:f>IF(C14=0,0,D14/C14)</x:f>
        <x:v>0</x:v>
      </x:c>
    </x:row>
    <x:row r="15">
      <x:c r="C15" s="38"/>
      <x:c r="D15" s="38"/>
      <x:c r="E15" s="38"/>
      <x:c r="H15" s="38"/>
      <x:c r="I15" s="43"/>
    </x:row>
    <x:row r="16">
      <x:c r="A16" s="53" t="str">
        <x:v>TOTALS</x:v>
      </x:c>
      <x:c r="B16" s="53" t="str"/>
      <x:c r="C16" s="54" t="n">
        <x:f>SUM(C5:C14)</x:f>
        <x:v>0</x:v>
      </x:c>
      <x:c r="D16" s="54" t="n">
        <x:f>SUM(D5:D14)</x:f>
        <x:v>0</x:v>
      </x:c>
      <x:c r="E16" s="54" t="n">
        <x:f>SUM(E5:E14)</x:f>
        <x:v>0</x:v>
      </x:c>
      <x:c r="F16" s="53" t="str"/>
      <x:c r="G16" s="53" t="str"/>
      <x:c r="H16" s="54" t="n">
        <x:f>SUM(H5:H14)</x:f>
        <x:v>0</x:v>
      </x:c>
      <x:c r="I16" s="55" t="n">
        <x:f>IF(C16=0,0,D16/C16)</x:f>
        <x:v>0</x:v>
      </x:c>
    </x:row>
    <x:row r="18">
      <x:c r="A18" s="22" t="str">
        <x:v>Milestone Planner</x:v>
      </x:c>
      <x:c r="B18" s="22" t="str">
        <x:v>Goal</x:v>
      </x:c>
      <x:c r="C18" s="22" t="str">
        <x:v>25% Reward</x:v>
      </x:c>
      <x:c r="D18" s="22" t="str">
        <x:v>50% Reward</x:v>
      </x:c>
      <x:c r="E18" s="22" t="str">
        <x:v>75% Reward</x:v>
      </x:c>
      <x:c r="F18" s="22" t="str">
        <x:v>100% Reward</x:v>
      </x:c>
      <x:c r="G18" s="22" t="str">
        <x:v>Automation Action</x:v>
      </x:c>
      <x:c r="H18" s="22" t="str">
        <x:v>Start Date</x:v>
      </x:c>
      <x:c r="I18" s="22" t="str">
        <x:v>Review Date</x:v>
      </x:c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</x:row>
  </x:sheetData>
  <x:mergeCells>
    <x:mergeCell ref="A1:I1"/>
    <x:mergeCell ref="A2:I2"/>
  </x:mergeCells>
  <x:pageMargins left="0.7" right="0.7" top="0.75" bottom="0.75" header="0.3" footer="0.3"/>
</x:worksheet>
</file>